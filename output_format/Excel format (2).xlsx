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SA146787\Desktop\Python Scrip\"/>
    </mc:Choice>
  </mc:AlternateContent>
  <xr:revisionPtr revIDLastSave="0" documentId="13_ncr:1_{1D5FEB3F-A50E-470D-AD3E-47046EA41CAD}" xr6:coauthVersionLast="47" xr6:coauthVersionMax="47" xr10:uidLastSave="{00000000-0000-0000-0000-000000000000}"/>
  <bookViews>
    <workbookView xWindow="-110" yWindow="-110" windowWidth="19420" windowHeight="10300" activeTab="2" xr2:uid="{5F92B882-2CF4-4AFE-B2BF-1D87616D80D0}"/>
  </bookViews>
  <sheets>
    <sheet name="Mogli Lab " sheetId="1" r:id="rId1"/>
    <sheet name="SDI " sheetId="2" r:id="rId2"/>
    <sheet name="J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0" i="2" l="1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U12" i="1"/>
  <c r="U11" i="1"/>
  <c r="U10" i="1"/>
  <c r="U9" i="1"/>
  <c r="U8" i="1"/>
  <c r="U7" i="1"/>
  <c r="U6" i="1"/>
  <c r="U5" i="1"/>
  <c r="U4" i="1"/>
  <c r="U3" i="1"/>
  <c r="U2" i="1"/>
  <c r="T12" i="1"/>
  <c r="T11" i="1"/>
  <c r="T10" i="1"/>
  <c r="T9" i="1"/>
  <c r="T8" i="1"/>
  <c r="T7" i="1"/>
  <c r="T6" i="1"/>
  <c r="T5" i="1"/>
  <c r="T4" i="1"/>
  <c r="T3" i="1"/>
  <c r="T2" i="1"/>
  <c r="R12" i="1"/>
  <c r="R11" i="1"/>
  <c r="R10" i="1"/>
  <c r="R9" i="1"/>
  <c r="R8" i="1"/>
  <c r="R7" i="1"/>
  <c r="R6" i="1"/>
  <c r="R5" i="1"/>
  <c r="R4" i="1"/>
  <c r="R3" i="1"/>
  <c r="R2" i="1"/>
  <c r="P12" i="1"/>
  <c r="P11" i="1"/>
  <c r="P10" i="1"/>
  <c r="P9" i="1"/>
  <c r="P8" i="1"/>
  <c r="P7" i="1"/>
  <c r="P6" i="1"/>
  <c r="P5" i="1"/>
  <c r="P4" i="1"/>
  <c r="P3" i="1"/>
  <c r="P2" i="1"/>
  <c r="N12" i="1"/>
  <c r="N11" i="1"/>
  <c r="N10" i="1"/>
  <c r="N9" i="1"/>
  <c r="N8" i="1"/>
  <c r="N7" i="1"/>
  <c r="N6" i="1"/>
  <c r="N5" i="1"/>
  <c r="N4" i="1"/>
  <c r="N3" i="1"/>
  <c r="N2" i="1"/>
  <c r="R6" i="3"/>
  <c r="S6" i="3" s="1"/>
  <c r="P6" i="3"/>
  <c r="N6" i="3"/>
  <c r="R5" i="3"/>
  <c r="P5" i="3"/>
  <c r="S5" i="3" s="1"/>
  <c r="N5" i="3"/>
  <c r="R4" i="3"/>
  <c r="P4" i="3"/>
  <c r="N4" i="3"/>
  <c r="N3" i="3"/>
  <c r="R3" i="3"/>
  <c r="P3" i="3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M3" i="2"/>
  <c r="M2" i="2"/>
  <c r="Q2" i="2" s="1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S2" i="2"/>
  <c r="S4" i="3" l="1"/>
  <c r="S3" i="3"/>
  <c r="T2" i="2"/>
</calcChain>
</file>

<file path=xl/sharedStrings.xml><?xml version="1.0" encoding="utf-8"?>
<sst xmlns="http://schemas.openxmlformats.org/spreadsheetml/2006/main" count="423" uniqueCount="97">
  <si>
    <t>Invoice Type</t>
  </si>
  <si>
    <t>TAX INVOICE</t>
  </si>
  <si>
    <t>29AAJCM7312H1ZA</t>
  </si>
  <si>
    <t>SCHNEIDER ELECTRIC IT BUSINESS INDIA PRIVATE LIMITED</t>
  </si>
  <si>
    <t>29AACCA6398Q1ZQ</t>
  </si>
  <si>
    <t>Buyer Name (Billed To)</t>
  </si>
  <si>
    <t>Vendor Name (Billed From)</t>
  </si>
  <si>
    <t>Vendor GSTN (Billed From GSTN)</t>
  </si>
  <si>
    <t>Buyer GSTIN (Billed To GSTN)</t>
  </si>
  <si>
    <t>Place of Suply</t>
  </si>
  <si>
    <t>Karnataka</t>
  </si>
  <si>
    <t>Invoice No</t>
  </si>
  <si>
    <t>Invoice Date</t>
  </si>
  <si>
    <t>Amount</t>
  </si>
  <si>
    <t xml:space="preserve">Description of Goods </t>
  </si>
  <si>
    <t xml:space="preserve">HSN </t>
  </si>
  <si>
    <t xml:space="preserve">Qty </t>
  </si>
  <si>
    <t xml:space="preserve">Unit </t>
  </si>
  <si>
    <t xml:space="preserve">Unit Price </t>
  </si>
  <si>
    <t xml:space="preserve">Taxable Total </t>
  </si>
  <si>
    <t xml:space="preserve">CGST % </t>
  </si>
  <si>
    <t xml:space="preserve">CGST Amount </t>
  </si>
  <si>
    <t xml:space="preserve">SGST % </t>
  </si>
  <si>
    <t xml:space="preserve">SGST Amount </t>
  </si>
  <si>
    <t>Supply &amp; Fixing Of 100x50mm Muvtons wheels fabrication charges (SS Trolleys Old wheels remove &amp; New wheels fixing &amp; Modification work) (Brand: Generic) CPN: SCH29497&lt;br/&gt;[ Cust Code:1]</t>
  </si>
  <si>
    <t>SET (SET)</t>
  </si>
  <si>
    <t>MOGLI LABS INDIA PRIVATE LIMITED</t>
  </si>
  <si>
    <t>Part No  NHA70131-00 ESD Safe PP Partition Moulded Bin Size  600 X 400 X 230 mm No s of Slots  5 X 8   40 Slots PP Thickness  5 mm PCB Size  80 X 26 X 152 mm</t>
  </si>
  <si>
    <t>Part No  QGH65013-01 ESD Safe PP Partition Moulded Bin Size  600 X 400 X 340 mm No s of Slots  4 X 4   16 Slots PP Thickness  5 mm PCB Size  120 X 60 X 240 mm Quote  SSPL-760-4 SE SS 2025-26</t>
  </si>
  <si>
    <t>Part No  NHA13277-01 ESD Safe PP Partition Moulded Bin Size  600 X 400 X 175 mm No s of Slots  5 X 7   35 Slots PP Thickness  5 mm PCB Size  86 X 35 X 105 mm</t>
  </si>
  <si>
    <t>Part No  QGH43409-01 ESD Safe PP Partition Moulded Bin Size  600 X 400 X 230 mm No s of Slots  3 X 7   21 Slots PP Thickness  5 mm PCB Size  170 X 35 X 180 mm</t>
  </si>
  <si>
    <t>Part No  EAV68449-00 ESD Safe PP Partition Moulded Bin Size  600 X 400 X 230 mm No s of Slots  5 X 8   24 Slots PP Thickness  5 mm PCB Size  80 X 26 X 152 mm</t>
  </si>
  <si>
    <t>Part No  NHA13279-00 ESD Safe PP Partition Moulded Bin Size  600 X 400 X 230 mm No s of Slots  1 X 11   11 Slots PP Thickness  5 mm PCB Size  307 X 36 X 136 mm</t>
  </si>
  <si>
    <t>Part No  EAV97589-01 ESD Safe PP Partition Moulded Bin Size  600 X 400 X 280 mm No s of Slots  10 X 2   20 Slots PP Thickness  5 mm PCB Size  210 X 20 X 220 mm</t>
  </si>
  <si>
    <t>Part No  QGH32489-01 ESD Safe PP Partition Moulded Bin Size  600 X 400 X 340 mm No s of Slots  4 X 6   24 Slots PP Thickness  5 mm PCB Size  106 X 38 X 276 mm</t>
  </si>
  <si>
    <t>Part No  QGH31433-01 ESD Safe PP Partition Moulded Bin Size  600 X 400 X 340 mm No s of Slots  2 X 7   14 Slots PP Thickness  5 mm PCB Size  200 X 35 X 280 mm</t>
  </si>
  <si>
    <t>Part No  QGH43411-01 ESD Safe PP Partition Moulded Bin Size  600 X 400 X 255 mm No s of Slots  3 X 6   18 Slots PP Thickness  5 mm PCB Size  131 X 40 X 196 mm</t>
  </si>
  <si>
    <t>EA (OTH)</t>
  </si>
  <si>
    <t>IGST    %</t>
  </si>
  <si>
    <t>IGST Amount</t>
  </si>
  <si>
    <t>SDI Business Services India Pvt Ltd</t>
  </si>
  <si>
    <t>29AAKCS0498R1Z9</t>
  </si>
  <si>
    <t>Schneider Electric IT Business India Private Limited</t>
  </si>
  <si>
    <t>KAR25-26MSP6639</t>
  </si>
  <si>
    <t>Display Stand with 4" PU Wheel, Stand size -1800x45x1750mmht, Magnitic board size:-1200x1700mm, Material:-45 Sq Alu Profile</t>
  </si>
  <si>
    <t>Rate</t>
  </si>
  <si>
    <t>Per</t>
  </si>
  <si>
    <t>units</t>
  </si>
  <si>
    <t>HSN/SAC</t>
  </si>
  <si>
    <t>Quantity</t>
  </si>
  <si>
    <t>Display Stand with 4" PU Wheel, Stand size -2400x45x1750mmht, Metal sheet board size:2400mmx1200, Material: -45 Sq Alu,Profile</t>
  </si>
  <si>
    <t>KAR25-26MSP9854</t>
  </si>
  <si>
    <t>PG-16 PVC Cable Gland</t>
  </si>
  <si>
    <t>60mm Yellow Ring Legend Emergency Stop</t>
  </si>
  <si>
    <t>Spray Paint</t>
  </si>
  <si>
    <t>PVC Electrical Insulation Tape Make  Wonder</t>
  </si>
  <si>
    <t>300x300x16mm MS Plate</t>
  </si>
  <si>
    <t>1 2 Truss Head Self Drilling Screw L</t>
  </si>
  <si>
    <t>38mm DC Brass Cable Gland</t>
  </si>
  <si>
    <t>2 5sqmmx3C Cu Flexible Cable Make  Polycab</t>
  </si>
  <si>
    <t>AA 2800mAh Rechargeable Battery</t>
  </si>
  <si>
    <t>Powder Coat Spray Paint Signal White</t>
  </si>
  <si>
    <t>Powder Coat Spray Paint Siemens Grey</t>
  </si>
  <si>
    <t>13mm Truss Head Self Drilling Screw</t>
  </si>
  <si>
    <t>AAA 1100mAh Rechargeable Battery</t>
  </si>
  <si>
    <t>XB5 Emergency Push Button Key Release with Box Make  Schneider</t>
  </si>
  <si>
    <t>Compound for Chemical Wedge Bolt</t>
  </si>
  <si>
    <t>70sqmm Cu HD CUS Lug</t>
  </si>
  <si>
    <t>AA AAA Battery Charger</t>
  </si>
  <si>
    <t>1 5sqmmx4C Cu Flexible Cable Make  KEI Polycab</t>
  </si>
  <si>
    <t>20x180mm Chemical Wedge Bolt</t>
  </si>
  <si>
    <t>16x100mm Anchor Wedge Bolt</t>
  </si>
  <si>
    <t>PG-36 PVC Cable Gland</t>
  </si>
  <si>
    <t>Powder Coat Spray Paint LT Black</t>
  </si>
  <si>
    <t>10x50mm Bolt Nut Double Washer   Spring Washer L</t>
  </si>
  <si>
    <t>10mm Gadget Plate</t>
  </si>
  <si>
    <t>25x3mm GI Earth Strip L</t>
  </si>
  <si>
    <t>300sqmm Cu HD LLB Lug</t>
  </si>
  <si>
    <t>750x390mm Gland Plate</t>
  </si>
  <si>
    <t>Jones Lang LaSalle Property Consultants(India) Private Ltd</t>
  </si>
  <si>
    <t>29AAACL2089B1ZO</t>
  </si>
  <si>
    <t>PS/KA/2526/14797</t>
  </si>
  <si>
    <t>Description</t>
  </si>
  <si>
    <t>SE-IN APC IDF - 4&amp;5 (ITB) Facility Maintenance Charges ( Vendor Cost ) for the month of Nov-2025 Budget Billing SE-IN APC IDF - 4&amp;5 (ITB) Schneider Electric IT Business India Private Limited M &amp; R of other machinery</t>
  </si>
  <si>
    <t>HSN</t>
  </si>
  <si>
    <t>Qty</t>
  </si>
  <si>
    <t xml:space="preserve">Taxable Value </t>
  </si>
  <si>
    <t>Facility Maintenance Charges ( Management Fees ) for the month of Nov-2025 Budget Billing SEIN APC IDF - 4&amp;5 (ITB) Schneider Electric IT Business India Private Limited M &amp; R of other machinery</t>
  </si>
  <si>
    <t>Site Name</t>
  </si>
  <si>
    <t>SE-IN APC IDF - 4&amp;5 (ITB)</t>
  </si>
  <si>
    <t>M&amp;E Services</t>
  </si>
  <si>
    <t>Service Type</t>
  </si>
  <si>
    <t>PS/KA/2526/14803</t>
  </si>
  <si>
    <t>SE-IN APC IDF - 4&amp;5 (ITB) Facility Maintenance Charges ( Vendor Cost ) for the month of Nov-2025 Budget Billing SE-IN APC IDF - 4&amp;5 (ITB) Schneider Electric IT Business India Private Limited M &amp; R of other machinery Other contract food services</t>
  </si>
  <si>
    <t>Facility Maintenance Charges ( Management Fees ) for the month of Nov-2025 Budget Billing SEIN APC IDF - 4&amp;5 (ITB) Schneider Electric IT Business India Private Limited Other contract food services</t>
  </si>
  <si>
    <t>Pantry Services</t>
  </si>
  <si>
    <t>Summary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</si>
</sst>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/>
    <xf numFmtId="1" fontId="0" fillId="0" borderId="0" xfId="0" applyNumberFormat="1"/>
    <xf numFmtId="9" fontId="0" fillId="0" borderId="0" xfId="0" applyNumberFormat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165" fontId="2" fillId="2" borderId="0" xfId="1" applyNumberFormat="1" applyFont="1" applyFill="1" applyAlignment="1">
      <alignment horizontal="left"/>
    </xf>
    <xf numFmtId="165" fontId="0" fillId="0" borderId="0" xfId="1" applyNumberFormat="1" applyFont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4" fontId="0" fillId="0" borderId="0" xfId="0" applyNumberFormat="1"/>
    <xf numFmtId="165" fontId="1" fillId="0" borderId="0" xfId="1" applyNumberFormat="1" applyFont="1" applyFill="1" applyAlignment="1"/>
    <xf numFmtId="165" fontId="0" fillId="0" borderId="0" xfId="0" applyNumberFormat="1"/>
    <xf numFmtId="0" fontId="2" fillId="0" borderId="0" xfId="0" applyFont="1" applyAlignment="1">
      <alignment horizontal="left"/>
    </xf>
    <xf numFmtId="165" fontId="0" fillId="0" borderId="0" xfId="1" applyNumberFormat="1" applyFont="1" applyFill="1"/>
    <xf numFmtId="165" fontId="1" fillId="0" borderId="0" xfId="1" applyNumberFormat="1" applyFont="1" applyFill="1"/>
    <xf numFmtId="0" fontId="2" fillId="2" borderId="0" xfId="0" applyFont="1" applyFill="1" applyAlignment="1">
      <alignment horizontal="right"/>
    </xf>
    <xf numFmtId="165" fontId="2" fillId="2" borderId="0" xfId="1" applyNumberFormat="1" applyFont="1" applyFill="1" applyAlignment="1"/>
    <xf numFmtId="1" fontId="2" fillId="0" borderId="0" xfId="0" applyNumberFormat="1" applyFont="1" applyAlignment="1">
      <alignment horizontal="right"/>
    </xf>
    <xf numFmtId="0" fontId="2" fillId="3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BB468-DE4B-4732-8AB9-8A1D8D8D30BA}">
  <dimension ref="A1:U12"/>
  <sheetViews>
    <sheetView workbookViewId="0">
      <selection activeCell="T1" sqref="T1"/>
    </sheetView>
  </sheetViews>
  <sheetFormatPr defaultRowHeight="14.5" x14ac:dyDescent="0.35"/>
  <cols>
    <col min="1" max="1" width="17.08984375" customWidth="1"/>
    <col min="2" max="2" width="35.81640625" customWidth="1"/>
    <col min="3" max="3" width="28" bestFit="1" customWidth="1"/>
    <col min="4" max="4" width="48.54296875" bestFit="1" customWidth="1"/>
    <col min="5" max="5" width="24.90625" bestFit="1" customWidth="1"/>
    <col min="6" max="6" width="12.54296875" bestFit="1" customWidth="1"/>
    <col min="7" max="7" width="14.90625" style="2" bestFit="1" customWidth="1"/>
    <col min="8" max="8" width="15.1796875" style="9" customWidth="1"/>
    <col min="9" max="9" width="35.6328125" customWidth="1"/>
    <col min="10" max="10" width="15.90625" customWidth="1"/>
    <col min="11" max="11" width="8.36328125" customWidth="1"/>
    <col min="12" max="12" width="11.7265625" customWidth="1"/>
    <col min="13" max="13" width="12.90625" style="7" customWidth="1"/>
    <col min="14" max="16" width="15.6328125" style="7" customWidth="1"/>
    <col min="17" max="17" width="7.6328125" bestFit="1" customWidth="1"/>
    <col min="18" max="18" width="13.453125" style="7" bestFit="1" customWidth="1"/>
    <col min="19" max="19" width="7.453125" bestFit="1" customWidth="1"/>
    <col min="20" max="20" width="13.26953125" style="7" bestFit="1" customWidth="1"/>
    <col min="21" max="21" width="8.6328125" style="7" bestFit="1" customWidth="1"/>
  </cols>
  <sheetData>
    <row r="1" spans="1:21" s="17" customFormat="1" x14ac:dyDescent="0.35">
      <c r="A1" s="4" t="s">
        <v>0</v>
      </c>
      <c r="B1" s="4" t="s">
        <v>6</v>
      </c>
      <c r="C1" s="4" t="s">
        <v>7</v>
      </c>
      <c r="D1" s="4" t="s">
        <v>5</v>
      </c>
      <c r="E1" s="4" t="s">
        <v>8</v>
      </c>
      <c r="F1" s="4" t="s">
        <v>9</v>
      </c>
      <c r="G1" s="5" t="s">
        <v>11</v>
      </c>
      <c r="H1" s="5" t="s">
        <v>12</v>
      </c>
      <c r="I1" s="4" t="s">
        <v>14</v>
      </c>
      <c r="J1" s="4" t="s">
        <v>15</v>
      </c>
      <c r="K1" s="4" t="s">
        <v>16</v>
      </c>
      <c r="L1" s="4" t="s">
        <v>17</v>
      </c>
      <c r="M1" s="6" t="s">
        <v>18</v>
      </c>
      <c r="N1" s="6" t="s">
        <v>19</v>
      </c>
      <c r="O1" s="6" t="s">
        <v>38</v>
      </c>
      <c r="P1" s="6" t="s">
        <v>39</v>
      </c>
      <c r="Q1" s="4" t="s">
        <v>20</v>
      </c>
      <c r="R1" s="6" t="s">
        <v>21</v>
      </c>
      <c r="S1" s="4" t="s">
        <v>22</v>
      </c>
      <c r="T1" s="6" t="s">
        <v>23</v>
      </c>
      <c r="U1" s="6" t="s">
        <v>13</v>
      </c>
    </row>
    <row r="2" spans="1:21" x14ac:dyDescent="0.35">
      <c r="A2" t="s">
        <v>1</v>
      </c>
      <c r="B2" s="9" t="s">
        <v>26</v>
      </c>
      <c r="C2" t="s">
        <v>2</v>
      </c>
      <c r="D2" t="s">
        <v>3</v>
      </c>
      <c r="E2" t="s">
        <v>4</v>
      </c>
      <c r="F2" t="s">
        <v>10</v>
      </c>
      <c r="G2" s="2">
        <v>29312600019700</v>
      </c>
      <c r="H2" s="11">
        <v>45873</v>
      </c>
      <c r="I2" t="s">
        <v>24</v>
      </c>
      <c r="J2">
        <v>73081000</v>
      </c>
      <c r="K2">
        <v>20</v>
      </c>
      <c r="L2" t="s">
        <v>25</v>
      </c>
      <c r="M2" s="7">
        <v>4850</v>
      </c>
      <c r="N2" s="7">
        <f>M2*K2</f>
        <v>97000</v>
      </c>
      <c r="O2" s="7">
        <v>0</v>
      </c>
      <c r="P2" s="7">
        <f>N2*O2</f>
        <v>0</v>
      </c>
      <c r="Q2" s="3">
        <v>0.09</v>
      </c>
      <c r="R2" s="7">
        <f>N2*Q2</f>
        <v>8730</v>
      </c>
      <c r="S2" s="3">
        <v>0.09</v>
      </c>
      <c r="T2" s="7">
        <f>N2*S2</f>
        <v>8730</v>
      </c>
      <c r="U2" s="7">
        <f>N2+P2+R2+T2</f>
        <v>114460</v>
      </c>
    </row>
    <row r="3" spans="1:21" x14ac:dyDescent="0.35">
      <c r="A3" t="s">
        <v>1</v>
      </c>
      <c r="B3" s="9" t="s">
        <v>26</v>
      </c>
      <c r="C3" s="9" t="s">
        <v>2</v>
      </c>
      <c r="D3" t="s">
        <v>3</v>
      </c>
      <c r="E3" t="s">
        <v>4</v>
      </c>
      <c r="F3" t="s">
        <v>10</v>
      </c>
      <c r="G3" s="22">
        <v>29312600037033</v>
      </c>
      <c r="H3" s="11">
        <v>45985</v>
      </c>
      <c r="I3" s="9" t="s">
        <v>27</v>
      </c>
      <c r="J3" s="12">
        <v>39219099</v>
      </c>
      <c r="K3">
        <v>1</v>
      </c>
      <c r="L3" t="s">
        <v>37</v>
      </c>
      <c r="M3" s="7">
        <v>5170</v>
      </c>
      <c r="N3" s="7">
        <f t="shared" ref="N3:N12" si="0">M3*K3</f>
        <v>5170</v>
      </c>
      <c r="O3" s="13">
        <v>0</v>
      </c>
      <c r="P3" s="7">
        <f t="shared" ref="P3:P12" si="1">N3*O3</f>
        <v>0</v>
      </c>
      <c r="Q3" s="3">
        <v>0.09</v>
      </c>
      <c r="R3" s="7">
        <f t="shared" ref="R3:R12" si="2">N3*Q3</f>
        <v>465.29999999999995</v>
      </c>
      <c r="S3" s="3">
        <v>0.09</v>
      </c>
      <c r="T3" s="7">
        <f t="shared" ref="T3:T12" si="3">N3*S3</f>
        <v>465.29999999999995</v>
      </c>
      <c r="U3" s="7">
        <f t="shared" ref="U3:U12" si="4">N3+P3+R3+T3</f>
        <v>6100.6</v>
      </c>
    </row>
    <row r="4" spans="1:21" x14ac:dyDescent="0.35">
      <c r="A4" t="s">
        <v>1</v>
      </c>
      <c r="B4" s="9" t="s">
        <v>26</v>
      </c>
      <c r="C4" s="9" t="s">
        <v>2</v>
      </c>
      <c r="D4" t="s">
        <v>3</v>
      </c>
      <c r="E4" t="s">
        <v>4</v>
      </c>
      <c r="F4" t="s">
        <v>10</v>
      </c>
      <c r="G4" s="22">
        <v>29312600037033</v>
      </c>
      <c r="H4" s="11">
        <v>45985</v>
      </c>
      <c r="I4" s="9" t="s">
        <v>28</v>
      </c>
      <c r="J4" s="12">
        <v>39219099</v>
      </c>
      <c r="K4">
        <v>1</v>
      </c>
      <c r="L4" t="s">
        <v>37</v>
      </c>
      <c r="M4" s="7">
        <v>5625</v>
      </c>
      <c r="N4" s="7">
        <f t="shared" si="0"/>
        <v>5625</v>
      </c>
      <c r="O4" s="13">
        <v>0</v>
      </c>
      <c r="P4" s="7">
        <f t="shared" si="1"/>
        <v>0</v>
      </c>
      <c r="Q4" s="3">
        <v>0.09</v>
      </c>
      <c r="R4" s="7">
        <f t="shared" si="2"/>
        <v>506.25</v>
      </c>
      <c r="S4" s="3">
        <v>0.09</v>
      </c>
      <c r="T4" s="7">
        <f t="shared" si="3"/>
        <v>506.25</v>
      </c>
      <c r="U4" s="7">
        <f t="shared" si="4"/>
        <v>6637.5</v>
      </c>
    </row>
    <row r="5" spans="1:21" x14ac:dyDescent="0.35">
      <c r="A5" t="s">
        <v>1</v>
      </c>
      <c r="B5" s="9" t="s">
        <v>26</v>
      </c>
      <c r="C5" s="9" t="s">
        <v>2</v>
      </c>
      <c r="D5" t="s">
        <v>3</v>
      </c>
      <c r="E5" t="s">
        <v>4</v>
      </c>
      <c r="F5" t="s">
        <v>10</v>
      </c>
      <c r="G5" s="22">
        <v>29312600037033</v>
      </c>
      <c r="H5" s="11">
        <v>45985</v>
      </c>
      <c r="I5" s="9" t="s">
        <v>29</v>
      </c>
      <c r="J5" s="12">
        <v>39219099</v>
      </c>
      <c r="K5">
        <v>1</v>
      </c>
      <c r="L5" t="s">
        <v>37</v>
      </c>
      <c r="M5" s="7">
        <v>4275</v>
      </c>
      <c r="N5" s="7">
        <f t="shared" si="0"/>
        <v>4275</v>
      </c>
      <c r="O5" s="13">
        <v>0</v>
      </c>
      <c r="P5" s="7">
        <f t="shared" si="1"/>
        <v>0</v>
      </c>
      <c r="Q5" s="3">
        <v>0.09</v>
      </c>
      <c r="R5" s="7">
        <f t="shared" si="2"/>
        <v>384.75</v>
      </c>
      <c r="S5" s="3">
        <v>0.09</v>
      </c>
      <c r="T5" s="7">
        <f t="shared" si="3"/>
        <v>384.75</v>
      </c>
      <c r="U5" s="7">
        <f t="shared" si="4"/>
        <v>5044.5</v>
      </c>
    </row>
    <row r="6" spans="1:21" x14ac:dyDescent="0.35">
      <c r="A6" t="s">
        <v>1</v>
      </c>
      <c r="B6" s="9" t="s">
        <v>26</v>
      </c>
      <c r="C6" s="9" t="s">
        <v>2</v>
      </c>
      <c r="D6" t="s">
        <v>3</v>
      </c>
      <c r="E6" t="s">
        <v>4</v>
      </c>
      <c r="F6" t="s">
        <v>10</v>
      </c>
      <c r="G6" s="22">
        <v>29312600037033</v>
      </c>
      <c r="H6" s="11">
        <v>45985</v>
      </c>
      <c r="I6" s="9" t="s">
        <v>30</v>
      </c>
      <c r="J6" s="12">
        <v>39219099</v>
      </c>
      <c r="K6">
        <v>1</v>
      </c>
      <c r="L6" t="s">
        <v>37</v>
      </c>
      <c r="M6" s="7">
        <v>5080</v>
      </c>
      <c r="N6" s="7">
        <f t="shared" si="0"/>
        <v>5080</v>
      </c>
      <c r="O6" s="13">
        <v>0</v>
      </c>
      <c r="P6" s="7">
        <f t="shared" si="1"/>
        <v>0</v>
      </c>
      <c r="Q6" s="3">
        <v>0.09</v>
      </c>
      <c r="R6" s="7">
        <f t="shared" si="2"/>
        <v>457.2</v>
      </c>
      <c r="S6" s="3">
        <v>0.09</v>
      </c>
      <c r="T6" s="7">
        <f t="shared" si="3"/>
        <v>457.2</v>
      </c>
      <c r="U6" s="7">
        <f t="shared" si="4"/>
        <v>5994.4</v>
      </c>
    </row>
    <row r="7" spans="1:21" x14ac:dyDescent="0.35">
      <c r="A7" t="s">
        <v>1</v>
      </c>
      <c r="B7" s="9" t="s">
        <v>26</v>
      </c>
      <c r="C7" s="9" t="s">
        <v>2</v>
      </c>
      <c r="D7" t="s">
        <v>3</v>
      </c>
      <c r="E7" t="s">
        <v>4</v>
      </c>
      <c r="F7" t="s">
        <v>10</v>
      </c>
      <c r="G7" s="22">
        <v>29312600037033</v>
      </c>
      <c r="H7" s="11">
        <v>45985</v>
      </c>
      <c r="I7" s="9" t="s">
        <v>31</v>
      </c>
      <c r="J7" s="12">
        <v>39219099</v>
      </c>
      <c r="K7">
        <v>1</v>
      </c>
      <c r="L7" t="s">
        <v>37</v>
      </c>
      <c r="M7" s="7">
        <v>5170</v>
      </c>
      <c r="N7" s="7">
        <f t="shared" si="0"/>
        <v>5170</v>
      </c>
      <c r="O7" s="13">
        <v>0</v>
      </c>
      <c r="P7" s="7">
        <f t="shared" si="1"/>
        <v>0</v>
      </c>
      <c r="Q7" s="3">
        <v>0.09</v>
      </c>
      <c r="R7" s="7">
        <f t="shared" si="2"/>
        <v>465.29999999999995</v>
      </c>
      <c r="S7" s="3">
        <v>0.09</v>
      </c>
      <c r="T7" s="7">
        <f t="shared" si="3"/>
        <v>465.29999999999995</v>
      </c>
      <c r="U7" s="7">
        <f t="shared" si="4"/>
        <v>6100.6</v>
      </c>
    </row>
    <row r="8" spans="1:21" x14ac:dyDescent="0.35">
      <c r="A8" t="s">
        <v>1</v>
      </c>
      <c r="B8" s="9" t="s">
        <v>26</v>
      </c>
      <c r="C8" s="9" t="s">
        <v>2</v>
      </c>
      <c r="D8" t="s">
        <v>3</v>
      </c>
      <c r="E8" t="s">
        <v>4</v>
      </c>
      <c r="F8" t="s">
        <v>10</v>
      </c>
      <c r="G8" s="22">
        <v>29312600037033</v>
      </c>
      <c r="H8" s="11">
        <v>45985</v>
      </c>
      <c r="I8" s="9" t="s">
        <v>32</v>
      </c>
      <c r="J8" s="12">
        <v>39219099</v>
      </c>
      <c r="K8">
        <v>1</v>
      </c>
      <c r="L8" t="s">
        <v>37</v>
      </c>
      <c r="M8" s="7">
        <v>5020</v>
      </c>
      <c r="N8" s="7">
        <f t="shared" si="0"/>
        <v>5020</v>
      </c>
      <c r="O8" s="13">
        <v>0</v>
      </c>
      <c r="P8" s="7">
        <f t="shared" si="1"/>
        <v>0</v>
      </c>
      <c r="Q8" s="3">
        <v>0.09</v>
      </c>
      <c r="R8" s="7">
        <f t="shared" si="2"/>
        <v>451.8</v>
      </c>
      <c r="S8" s="3">
        <v>0.09</v>
      </c>
      <c r="T8" s="7">
        <f t="shared" si="3"/>
        <v>451.8</v>
      </c>
      <c r="U8" s="7">
        <f t="shared" si="4"/>
        <v>5923.6</v>
      </c>
    </row>
    <row r="9" spans="1:21" x14ac:dyDescent="0.35">
      <c r="A9" t="s">
        <v>1</v>
      </c>
      <c r="B9" s="9" t="s">
        <v>26</v>
      </c>
      <c r="C9" s="9" t="s">
        <v>2</v>
      </c>
      <c r="D9" t="s">
        <v>3</v>
      </c>
      <c r="E9" t="s">
        <v>4</v>
      </c>
      <c r="F9" t="s">
        <v>10</v>
      </c>
      <c r="G9" s="22">
        <v>29312600037033</v>
      </c>
      <c r="H9" s="11">
        <v>45985</v>
      </c>
      <c r="I9" s="9" t="s">
        <v>33</v>
      </c>
      <c r="J9" s="12">
        <v>39219099</v>
      </c>
      <c r="K9">
        <v>1</v>
      </c>
      <c r="L9" t="s">
        <v>37</v>
      </c>
      <c r="M9" s="7">
        <v>5850</v>
      </c>
      <c r="N9" s="7">
        <f t="shared" si="0"/>
        <v>5850</v>
      </c>
      <c r="O9" s="13">
        <v>0</v>
      </c>
      <c r="P9" s="7">
        <f t="shared" si="1"/>
        <v>0</v>
      </c>
      <c r="Q9" s="3">
        <v>0.09</v>
      </c>
      <c r="R9" s="7">
        <f t="shared" si="2"/>
        <v>526.5</v>
      </c>
      <c r="S9" s="3">
        <v>0.09</v>
      </c>
      <c r="T9" s="7">
        <f t="shared" si="3"/>
        <v>526.5</v>
      </c>
      <c r="U9" s="7">
        <f t="shared" si="4"/>
        <v>6903</v>
      </c>
    </row>
    <row r="10" spans="1:21" x14ac:dyDescent="0.35">
      <c r="A10" t="s">
        <v>1</v>
      </c>
      <c r="B10" s="9" t="s">
        <v>26</v>
      </c>
      <c r="C10" s="9" t="s">
        <v>2</v>
      </c>
      <c r="D10" t="s">
        <v>3</v>
      </c>
      <c r="E10" t="s">
        <v>4</v>
      </c>
      <c r="F10" t="s">
        <v>10</v>
      </c>
      <c r="G10" s="22">
        <v>29312600037033</v>
      </c>
      <c r="H10" s="11">
        <v>45985</v>
      </c>
      <c r="I10" s="9" t="s">
        <v>34</v>
      </c>
      <c r="J10" s="12">
        <v>39219099</v>
      </c>
      <c r="K10">
        <v>1</v>
      </c>
      <c r="L10" t="s">
        <v>37</v>
      </c>
      <c r="M10" s="7">
        <v>5970</v>
      </c>
      <c r="N10" s="7">
        <f t="shared" si="0"/>
        <v>5970</v>
      </c>
      <c r="O10" s="13">
        <v>0</v>
      </c>
      <c r="P10" s="7">
        <f t="shared" si="1"/>
        <v>0</v>
      </c>
      <c r="Q10" s="3">
        <v>0.09</v>
      </c>
      <c r="R10" s="7">
        <f t="shared" si="2"/>
        <v>537.29999999999995</v>
      </c>
      <c r="S10" s="3">
        <v>0.09</v>
      </c>
      <c r="T10" s="7">
        <f t="shared" si="3"/>
        <v>537.29999999999995</v>
      </c>
      <c r="U10" s="7">
        <f t="shared" si="4"/>
        <v>7044.6</v>
      </c>
    </row>
    <row r="11" spans="1:21" x14ac:dyDescent="0.35">
      <c r="A11" t="s">
        <v>1</v>
      </c>
      <c r="B11" s="9" t="s">
        <v>26</v>
      </c>
      <c r="C11" s="9" t="s">
        <v>2</v>
      </c>
      <c r="D11" t="s">
        <v>3</v>
      </c>
      <c r="E11" t="s">
        <v>4</v>
      </c>
      <c r="F11" t="s">
        <v>10</v>
      </c>
      <c r="G11" s="22">
        <v>29312600037033</v>
      </c>
      <c r="H11" s="11">
        <v>45985</v>
      </c>
      <c r="I11" s="9" t="s">
        <v>35</v>
      </c>
      <c r="J11" s="12">
        <v>39219099</v>
      </c>
      <c r="K11">
        <v>1</v>
      </c>
      <c r="L11" t="s">
        <v>37</v>
      </c>
      <c r="M11" s="7">
        <v>6075</v>
      </c>
      <c r="N11" s="7">
        <f t="shared" si="0"/>
        <v>6075</v>
      </c>
      <c r="O11" s="13">
        <v>0</v>
      </c>
      <c r="P11" s="7">
        <f t="shared" si="1"/>
        <v>0</v>
      </c>
      <c r="Q11" s="3">
        <v>0.09</v>
      </c>
      <c r="R11" s="7">
        <f t="shared" si="2"/>
        <v>546.75</v>
      </c>
      <c r="S11" s="3">
        <v>0.09</v>
      </c>
      <c r="T11" s="7">
        <f t="shared" si="3"/>
        <v>546.75</v>
      </c>
      <c r="U11" s="7">
        <f t="shared" si="4"/>
        <v>7168.5</v>
      </c>
    </row>
    <row r="12" spans="1:21" x14ac:dyDescent="0.35">
      <c r="A12" t="s">
        <v>1</v>
      </c>
      <c r="B12" s="9" t="s">
        <v>26</v>
      </c>
      <c r="C12" s="9" t="s">
        <v>2</v>
      </c>
      <c r="D12" t="s">
        <v>3</v>
      </c>
      <c r="E12" t="s">
        <v>4</v>
      </c>
      <c r="F12" t="s">
        <v>10</v>
      </c>
      <c r="G12" s="22">
        <v>29312600037033</v>
      </c>
      <c r="H12" s="11">
        <v>45985</v>
      </c>
      <c r="I12" s="9" t="s">
        <v>36</v>
      </c>
      <c r="J12" s="12">
        <v>39219099</v>
      </c>
      <c r="K12">
        <v>1</v>
      </c>
      <c r="L12" t="s">
        <v>37</v>
      </c>
      <c r="M12" s="7">
        <v>5300</v>
      </c>
      <c r="N12" s="7">
        <f t="shared" si="0"/>
        <v>5300</v>
      </c>
      <c r="O12" s="13">
        <v>0</v>
      </c>
      <c r="P12" s="7">
        <f t="shared" si="1"/>
        <v>0</v>
      </c>
      <c r="Q12" s="3">
        <v>0.09</v>
      </c>
      <c r="R12" s="7">
        <f t="shared" si="2"/>
        <v>477</v>
      </c>
      <c r="S12" s="3">
        <v>0.09</v>
      </c>
      <c r="T12" s="7">
        <f t="shared" si="3"/>
        <v>477</v>
      </c>
      <c r="U12" s="7">
        <f t="shared" si="4"/>
        <v>6254</v>
      </c>
    </row>
  </sheetData>
  <pageMargins left="0.7" right="0.7" top="0.75" bottom="0.75" header="0.3" footer="0.3"/>
  <headerFooter>
    <oddFooter>&amp;C_x000D_&amp;1#&amp;"Aptos"&amp;6&amp;K626469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6754-A7FE-45BA-85AA-424ADC3EBF61}">
  <dimension ref="A1:V30"/>
  <sheetViews>
    <sheetView topLeftCell="L1" workbookViewId="0"/>
  </sheetViews>
  <sheetFormatPr defaultRowHeight="14.5" x14ac:dyDescent="0.35"/>
  <cols>
    <col min="1" max="1" width="19.08984375" customWidth="1"/>
    <col min="2" max="2" width="30" bestFit="1" customWidth="1"/>
    <col min="3" max="3" width="28" bestFit="1" customWidth="1"/>
    <col min="4" max="4" width="47.1796875" customWidth="1"/>
    <col min="5" max="5" width="24.90625" bestFit="1" customWidth="1"/>
    <col min="6" max="6" width="24.453125" customWidth="1"/>
    <col min="7" max="7" width="17.90625" style="9" customWidth="1"/>
    <col min="8" max="8" width="27.81640625" customWidth="1"/>
    <col min="9" max="9" width="14.6328125" customWidth="1"/>
    <col min="10" max="10" width="10.7265625" style="12" bestFit="1" customWidth="1"/>
    <col min="11" max="11" width="9.6328125" style="7" bestFit="1" customWidth="1"/>
    <col min="12" max="12" width="10.08984375" customWidth="1"/>
    <col min="13" max="13" width="12.90625" style="7" bestFit="1" customWidth="1"/>
    <col min="14" max="20" width="11.7265625" customWidth="1"/>
  </cols>
  <sheetData>
    <row r="1" spans="1:22" x14ac:dyDescent="0.35">
      <c r="A1" s="4" t="s">
        <v>0</v>
      </c>
      <c r="B1" s="4" t="s">
        <v>6</v>
      </c>
      <c r="C1" s="4" t="s">
        <v>7</v>
      </c>
      <c r="D1" s="4" t="s">
        <v>5</v>
      </c>
      <c r="E1" s="4" t="s">
        <v>8</v>
      </c>
      <c r="F1" s="5" t="s">
        <v>11</v>
      </c>
      <c r="G1" s="5" t="s">
        <v>12</v>
      </c>
      <c r="H1" s="4" t="s">
        <v>14</v>
      </c>
      <c r="I1" s="4" t="s">
        <v>48</v>
      </c>
      <c r="J1" s="20" t="s">
        <v>49</v>
      </c>
      <c r="K1" s="6" t="s">
        <v>45</v>
      </c>
      <c r="L1" s="21" t="s">
        <v>46</v>
      </c>
      <c r="M1" s="6" t="s">
        <v>19</v>
      </c>
      <c r="N1" s="6" t="s">
        <v>38</v>
      </c>
      <c r="O1" s="6" t="s">
        <v>39</v>
      </c>
      <c r="P1" s="4" t="s">
        <v>20</v>
      </c>
      <c r="Q1" s="6" t="s">
        <v>21</v>
      </c>
      <c r="R1" s="4" t="s">
        <v>22</v>
      </c>
      <c r="S1" s="6" t="s">
        <v>23</v>
      </c>
      <c r="T1" s="6" t="s">
        <v>13</v>
      </c>
    </row>
    <row r="2" spans="1:22" x14ac:dyDescent="0.35">
      <c r="A2" t="s">
        <v>1</v>
      </c>
      <c r="B2" t="s">
        <v>40</v>
      </c>
      <c r="C2" t="s">
        <v>41</v>
      </c>
      <c r="D2" t="s">
        <v>42</v>
      </c>
      <c r="E2" t="s">
        <v>4</v>
      </c>
      <c r="F2" t="s">
        <v>43</v>
      </c>
      <c r="G2" s="10">
        <v>45915</v>
      </c>
      <c r="H2" t="s">
        <v>44</v>
      </c>
      <c r="I2">
        <v>94031010</v>
      </c>
      <c r="J2" s="12">
        <v>5</v>
      </c>
      <c r="K2" s="7">
        <v>17217.5</v>
      </c>
      <c r="L2" t="s">
        <v>47</v>
      </c>
      <c r="M2" s="15">
        <f>J2*K2</f>
        <v>86087.5</v>
      </c>
      <c r="N2" s="7">
        <v>0</v>
      </c>
      <c r="O2" s="7">
        <f>M2*N2</f>
        <v>0</v>
      </c>
      <c r="P2" s="3">
        <v>0.09</v>
      </c>
      <c r="Q2" s="7">
        <f>M2*P2</f>
        <v>7747.875</v>
      </c>
      <c r="R2" s="3">
        <v>0.09</v>
      </c>
      <c r="S2" s="7">
        <f>M2*R2</f>
        <v>7747.875</v>
      </c>
      <c r="T2" s="7">
        <f>SUM(M2+O2+Q2+S2)</f>
        <v>101583.25</v>
      </c>
      <c r="U2" s="16"/>
      <c r="V2" s="16"/>
    </row>
    <row r="3" spans="1:22" x14ac:dyDescent="0.35">
      <c r="A3" t="s">
        <v>1</v>
      </c>
      <c r="B3" t="s">
        <v>40</v>
      </c>
      <c r="C3" t="s">
        <v>41</v>
      </c>
      <c r="D3" t="s">
        <v>42</v>
      </c>
      <c r="E3" t="s">
        <v>4</v>
      </c>
      <c r="F3" t="s">
        <v>43</v>
      </c>
      <c r="G3" s="10">
        <v>45915</v>
      </c>
      <c r="H3" t="s">
        <v>50</v>
      </c>
      <c r="I3">
        <v>94031010</v>
      </c>
      <c r="J3" s="12">
        <v>2</v>
      </c>
      <c r="K3" s="7">
        <v>22795</v>
      </c>
      <c r="L3" t="s">
        <v>47</v>
      </c>
      <c r="M3" s="15">
        <f>J3*K3</f>
        <v>45590</v>
      </c>
      <c r="N3" s="7">
        <v>0</v>
      </c>
      <c r="O3" s="7">
        <f t="shared" ref="O3:O30" si="0">M3*N3</f>
        <v>0</v>
      </c>
      <c r="P3" s="3">
        <v>0.09</v>
      </c>
      <c r="Q3" s="7">
        <f t="shared" ref="Q3:Q30" si="1">M3*P3</f>
        <v>4103.0999999999995</v>
      </c>
      <c r="R3" s="3">
        <v>0.09</v>
      </c>
      <c r="S3" s="7">
        <f t="shared" ref="S3:S30" si="2">M3*R3</f>
        <v>4103.0999999999995</v>
      </c>
      <c r="T3" s="7">
        <f t="shared" ref="T3:T30" si="3">SUM(M3+O3+Q3+S3)</f>
        <v>53796.2</v>
      </c>
    </row>
    <row r="4" spans="1:22" x14ac:dyDescent="0.35">
      <c r="A4" t="s">
        <v>1</v>
      </c>
      <c r="B4" t="s">
        <v>40</v>
      </c>
      <c r="C4" t="s">
        <v>41</v>
      </c>
      <c r="D4" t="s">
        <v>42</v>
      </c>
      <c r="E4" t="s">
        <v>4</v>
      </c>
      <c r="F4" t="s">
        <v>51</v>
      </c>
      <c r="G4" s="10">
        <v>46013</v>
      </c>
      <c r="H4" s="9" t="s">
        <v>52</v>
      </c>
      <c r="I4" s="12">
        <v>39171010</v>
      </c>
      <c r="J4" s="12">
        <v>20</v>
      </c>
      <c r="K4" s="18">
        <v>10</v>
      </c>
      <c r="L4" t="s">
        <v>47</v>
      </c>
      <c r="M4" s="15">
        <f>J4*K4</f>
        <v>200</v>
      </c>
      <c r="N4" s="19">
        <v>0</v>
      </c>
      <c r="O4" s="7">
        <f t="shared" si="0"/>
        <v>0</v>
      </c>
      <c r="P4" s="3">
        <v>0.09</v>
      </c>
      <c r="Q4" s="7">
        <f t="shared" si="1"/>
        <v>18</v>
      </c>
      <c r="R4" s="3">
        <v>0.09</v>
      </c>
      <c r="S4" s="7">
        <f t="shared" si="2"/>
        <v>18</v>
      </c>
      <c r="T4" s="7">
        <f t="shared" si="3"/>
        <v>236</v>
      </c>
    </row>
    <row r="5" spans="1:22" x14ac:dyDescent="0.35">
      <c r="A5" t="s">
        <v>1</v>
      </c>
      <c r="B5" t="s">
        <v>40</v>
      </c>
      <c r="C5" t="s">
        <v>41</v>
      </c>
      <c r="D5" t="s">
        <v>42</v>
      </c>
      <c r="E5" t="s">
        <v>4</v>
      </c>
      <c r="F5" t="s">
        <v>51</v>
      </c>
      <c r="G5" s="10">
        <v>46013</v>
      </c>
      <c r="H5" s="9" t="s">
        <v>53</v>
      </c>
      <c r="I5" s="12">
        <v>85389000</v>
      </c>
      <c r="J5" s="12">
        <v>6</v>
      </c>
      <c r="K5" s="18">
        <v>143</v>
      </c>
      <c r="L5" t="s">
        <v>47</v>
      </c>
      <c r="M5" s="15">
        <f t="shared" ref="M5:M30" si="4">J5*K5</f>
        <v>858</v>
      </c>
      <c r="N5" s="19">
        <v>0</v>
      </c>
      <c r="O5" s="7">
        <f t="shared" si="0"/>
        <v>0</v>
      </c>
      <c r="P5" s="3">
        <v>0.09</v>
      </c>
      <c r="Q5" s="7">
        <f t="shared" si="1"/>
        <v>77.22</v>
      </c>
      <c r="R5" s="3">
        <v>0.09</v>
      </c>
      <c r="S5" s="7">
        <f t="shared" si="2"/>
        <v>77.22</v>
      </c>
      <c r="T5" s="7">
        <f t="shared" si="3"/>
        <v>1012.44</v>
      </c>
    </row>
    <row r="6" spans="1:22" x14ac:dyDescent="0.35">
      <c r="A6" t="s">
        <v>1</v>
      </c>
      <c r="B6" t="s">
        <v>40</v>
      </c>
      <c r="C6" t="s">
        <v>41</v>
      </c>
      <c r="D6" t="s">
        <v>42</v>
      </c>
      <c r="E6" t="s">
        <v>4</v>
      </c>
      <c r="F6" t="s">
        <v>51</v>
      </c>
      <c r="G6" s="10">
        <v>46013</v>
      </c>
      <c r="H6" s="9" t="s">
        <v>54</v>
      </c>
      <c r="I6" s="12">
        <v>32089090</v>
      </c>
      <c r="J6" s="12">
        <v>1</v>
      </c>
      <c r="K6" s="18">
        <v>325</v>
      </c>
      <c r="L6" t="s">
        <v>47</v>
      </c>
      <c r="M6" s="15">
        <f t="shared" si="4"/>
        <v>325</v>
      </c>
      <c r="N6" s="19">
        <v>0</v>
      </c>
      <c r="O6" s="7">
        <f t="shared" si="0"/>
        <v>0</v>
      </c>
      <c r="P6" s="3">
        <v>0.09</v>
      </c>
      <c r="Q6" s="7">
        <f t="shared" si="1"/>
        <v>29.25</v>
      </c>
      <c r="R6" s="3">
        <v>0.09</v>
      </c>
      <c r="S6" s="7">
        <f t="shared" si="2"/>
        <v>29.25</v>
      </c>
      <c r="T6" s="7">
        <f t="shared" si="3"/>
        <v>383.5</v>
      </c>
    </row>
    <row r="7" spans="1:22" x14ac:dyDescent="0.35">
      <c r="A7" t="s">
        <v>1</v>
      </c>
      <c r="B7" t="s">
        <v>40</v>
      </c>
      <c r="C7" t="s">
        <v>41</v>
      </c>
      <c r="D7" t="s">
        <v>42</v>
      </c>
      <c r="E7" t="s">
        <v>4</v>
      </c>
      <c r="F7" t="s">
        <v>51</v>
      </c>
      <c r="G7" s="10">
        <v>46013</v>
      </c>
      <c r="H7" s="9" t="s">
        <v>55</v>
      </c>
      <c r="I7" s="12">
        <v>85469090</v>
      </c>
      <c r="J7" s="12">
        <v>5</v>
      </c>
      <c r="K7" s="18">
        <v>22</v>
      </c>
      <c r="L7" t="s">
        <v>47</v>
      </c>
      <c r="M7" s="15">
        <f t="shared" si="4"/>
        <v>110</v>
      </c>
      <c r="N7" s="19">
        <v>0</v>
      </c>
      <c r="O7" s="7">
        <f t="shared" si="0"/>
        <v>0</v>
      </c>
      <c r="P7" s="3">
        <v>0.09</v>
      </c>
      <c r="Q7" s="7">
        <f t="shared" si="1"/>
        <v>9.9</v>
      </c>
      <c r="R7" s="3">
        <v>0.09</v>
      </c>
      <c r="S7" s="7">
        <f t="shared" si="2"/>
        <v>9.9</v>
      </c>
      <c r="T7" s="7">
        <f t="shared" si="3"/>
        <v>129.80000000000001</v>
      </c>
    </row>
    <row r="8" spans="1:22" x14ac:dyDescent="0.35">
      <c r="A8" t="s">
        <v>1</v>
      </c>
      <c r="B8" t="s">
        <v>40</v>
      </c>
      <c r="C8" t="s">
        <v>41</v>
      </c>
      <c r="D8" t="s">
        <v>42</v>
      </c>
      <c r="E8" t="s">
        <v>4</v>
      </c>
      <c r="F8" t="s">
        <v>51</v>
      </c>
      <c r="G8" s="10">
        <v>46013</v>
      </c>
      <c r="H8" s="9" t="s">
        <v>56</v>
      </c>
      <c r="I8" s="12">
        <v>72082510</v>
      </c>
      <c r="J8" s="12">
        <v>20</v>
      </c>
      <c r="K8" s="18">
        <v>1875</v>
      </c>
      <c r="L8" t="s">
        <v>47</v>
      </c>
      <c r="M8" s="15">
        <f t="shared" si="4"/>
        <v>37500</v>
      </c>
      <c r="N8" s="19">
        <v>0</v>
      </c>
      <c r="O8" s="7">
        <f t="shared" si="0"/>
        <v>0</v>
      </c>
      <c r="P8" s="3">
        <v>0.09</v>
      </c>
      <c r="Q8" s="7">
        <f t="shared" si="1"/>
        <v>3375</v>
      </c>
      <c r="R8" s="3">
        <v>0.09</v>
      </c>
      <c r="S8" s="7">
        <f t="shared" si="2"/>
        <v>3375</v>
      </c>
      <c r="T8" s="7">
        <f t="shared" si="3"/>
        <v>44250</v>
      </c>
    </row>
    <row r="9" spans="1:22" x14ac:dyDescent="0.35">
      <c r="A9" t="s">
        <v>1</v>
      </c>
      <c r="B9" t="s">
        <v>40</v>
      </c>
      <c r="C9" t="s">
        <v>41</v>
      </c>
      <c r="D9" t="s">
        <v>42</v>
      </c>
      <c r="E9" t="s">
        <v>4</v>
      </c>
      <c r="F9" t="s">
        <v>51</v>
      </c>
      <c r="G9" s="10">
        <v>46013</v>
      </c>
      <c r="H9" s="9" t="s">
        <v>57</v>
      </c>
      <c r="I9" s="12">
        <v>73181500</v>
      </c>
      <c r="J9" s="12">
        <v>200</v>
      </c>
      <c r="K9" s="18">
        <v>1.4</v>
      </c>
      <c r="L9" t="s">
        <v>47</v>
      </c>
      <c r="M9" s="15">
        <f t="shared" si="4"/>
        <v>280</v>
      </c>
      <c r="N9" s="19">
        <v>0</v>
      </c>
      <c r="O9" s="7">
        <f t="shared" si="0"/>
        <v>0</v>
      </c>
      <c r="P9" s="3">
        <v>0.09</v>
      </c>
      <c r="Q9" s="7">
        <f t="shared" si="1"/>
        <v>25.2</v>
      </c>
      <c r="R9" s="3">
        <v>0.09</v>
      </c>
      <c r="S9" s="7">
        <f t="shared" si="2"/>
        <v>25.2</v>
      </c>
      <c r="T9" s="7">
        <f t="shared" si="3"/>
        <v>330.4</v>
      </c>
    </row>
    <row r="10" spans="1:22" x14ac:dyDescent="0.35">
      <c r="A10" t="s">
        <v>1</v>
      </c>
      <c r="B10" t="s">
        <v>40</v>
      </c>
      <c r="C10" t="s">
        <v>41</v>
      </c>
      <c r="D10" t="s">
        <v>42</v>
      </c>
      <c r="E10" t="s">
        <v>4</v>
      </c>
      <c r="F10" t="s">
        <v>51</v>
      </c>
      <c r="G10" s="10">
        <v>46013</v>
      </c>
      <c r="H10" s="9" t="s">
        <v>58</v>
      </c>
      <c r="I10" s="12">
        <v>85389000</v>
      </c>
      <c r="J10" s="12">
        <v>100</v>
      </c>
      <c r="K10" s="18">
        <v>525</v>
      </c>
      <c r="L10" t="s">
        <v>47</v>
      </c>
      <c r="M10" s="15">
        <f t="shared" si="4"/>
        <v>52500</v>
      </c>
      <c r="N10" s="19">
        <v>0</v>
      </c>
      <c r="O10" s="7">
        <f t="shared" si="0"/>
        <v>0</v>
      </c>
      <c r="P10" s="3">
        <v>0.09</v>
      </c>
      <c r="Q10" s="7">
        <f t="shared" si="1"/>
        <v>4725</v>
      </c>
      <c r="R10" s="3">
        <v>0.09</v>
      </c>
      <c r="S10" s="7">
        <f t="shared" si="2"/>
        <v>4725</v>
      </c>
      <c r="T10" s="7">
        <f t="shared" si="3"/>
        <v>61950</v>
      </c>
    </row>
    <row r="11" spans="1:22" x14ac:dyDescent="0.35">
      <c r="A11" t="s">
        <v>1</v>
      </c>
      <c r="B11" t="s">
        <v>40</v>
      </c>
      <c r="C11" t="s">
        <v>41</v>
      </c>
      <c r="D11" t="s">
        <v>42</v>
      </c>
      <c r="E11" t="s">
        <v>4</v>
      </c>
      <c r="F11" t="s">
        <v>51</v>
      </c>
      <c r="G11" s="10">
        <v>46013</v>
      </c>
      <c r="H11" s="9" t="s">
        <v>59</v>
      </c>
      <c r="I11" s="12">
        <v>85446020</v>
      </c>
      <c r="J11" s="12">
        <v>200</v>
      </c>
      <c r="K11" s="18">
        <v>107</v>
      </c>
      <c r="L11" t="s">
        <v>47</v>
      </c>
      <c r="M11" s="15">
        <f t="shared" si="4"/>
        <v>21400</v>
      </c>
      <c r="N11" s="19">
        <v>0</v>
      </c>
      <c r="O11" s="7">
        <f t="shared" si="0"/>
        <v>0</v>
      </c>
      <c r="P11" s="3">
        <v>0.09</v>
      </c>
      <c r="Q11" s="7">
        <f t="shared" si="1"/>
        <v>1926</v>
      </c>
      <c r="R11" s="3">
        <v>0.09</v>
      </c>
      <c r="S11" s="7">
        <f t="shared" si="2"/>
        <v>1926</v>
      </c>
      <c r="T11" s="7">
        <f t="shared" si="3"/>
        <v>25252</v>
      </c>
    </row>
    <row r="12" spans="1:22" x14ac:dyDescent="0.35">
      <c r="A12" t="s">
        <v>1</v>
      </c>
      <c r="B12" t="s">
        <v>40</v>
      </c>
      <c r="C12" t="s">
        <v>41</v>
      </c>
      <c r="D12" t="s">
        <v>42</v>
      </c>
      <c r="E12" t="s">
        <v>4</v>
      </c>
      <c r="F12" t="s">
        <v>51</v>
      </c>
      <c r="G12" s="10">
        <v>46013</v>
      </c>
      <c r="H12" s="9" t="s">
        <v>60</v>
      </c>
      <c r="I12" s="12">
        <v>85071000</v>
      </c>
      <c r="J12" s="12">
        <v>32</v>
      </c>
      <c r="K12" s="18">
        <v>140</v>
      </c>
      <c r="L12" t="s">
        <v>47</v>
      </c>
      <c r="M12" s="15">
        <f t="shared" si="4"/>
        <v>4480</v>
      </c>
      <c r="N12" s="19">
        <v>0</v>
      </c>
      <c r="O12" s="7">
        <f t="shared" si="0"/>
        <v>0</v>
      </c>
      <c r="P12" s="3">
        <v>0.09</v>
      </c>
      <c r="Q12" s="7">
        <f t="shared" si="1"/>
        <v>403.2</v>
      </c>
      <c r="R12" s="3">
        <v>0.09</v>
      </c>
      <c r="S12" s="7">
        <f t="shared" si="2"/>
        <v>403.2</v>
      </c>
      <c r="T12" s="7">
        <f t="shared" si="3"/>
        <v>5286.4</v>
      </c>
    </row>
    <row r="13" spans="1:22" x14ac:dyDescent="0.35">
      <c r="A13" t="s">
        <v>1</v>
      </c>
      <c r="B13" t="s">
        <v>40</v>
      </c>
      <c r="C13" t="s">
        <v>41</v>
      </c>
      <c r="D13" t="s">
        <v>42</v>
      </c>
      <c r="E13" t="s">
        <v>4</v>
      </c>
      <c r="F13" t="s">
        <v>51</v>
      </c>
      <c r="G13" s="10">
        <v>46013</v>
      </c>
      <c r="H13" s="9" t="s">
        <v>61</v>
      </c>
      <c r="I13" s="12">
        <v>32089090</v>
      </c>
      <c r="J13" s="12">
        <v>10</v>
      </c>
      <c r="K13" s="18">
        <v>350</v>
      </c>
      <c r="L13" t="s">
        <v>47</v>
      </c>
      <c r="M13" s="15">
        <f t="shared" si="4"/>
        <v>3500</v>
      </c>
      <c r="N13" s="19">
        <v>0</v>
      </c>
      <c r="O13" s="7">
        <f t="shared" si="0"/>
        <v>0</v>
      </c>
      <c r="P13" s="3">
        <v>0.09</v>
      </c>
      <c r="Q13" s="7">
        <f t="shared" si="1"/>
        <v>315</v>
      </c>
      <c r="R13" s="3">
        <v>0.09</v>
      </c>
      <c r="S13" s="7">
        <f t="shared" si="2"/>
        <v>315</v>
      </c>
      <c r="T13" s="7">
        <f t="shared" si="3"/>
        <v>4130</v>
      </c>
    </row>
    <row r="14" spans="1:22" x14ac:dyDescent="0.35">
      <c r="A14" t="s">
        <v>1</v>
      </c>
      <c r="B14" t="s">
        <v>40</v>
      </c>
      <c r="C14" t="s">
        <v>41</v>
      </c>
      <c r="D14" t="s">
        <v>42</v>
      </c>
      <c r="E14" t="s">
        <v>4</v>
      </c>
      <c r="F14" t="s">
        <v>51</v>
      </c>
      <c r="G14" s="10">
        <v>46013</v>
      </c>
      <c r="H14" s="9" t="s">
        <v>62</v>
      </c>
      <c r="I14" s="12">
        <v>32089090</v>
      </c>
      <c r="J14" s="12">
        <v>10</v>
      </c>
      <c r="K14" s="18">
        <v>350</v>
      </c>
      <c r="L14" t="s">
        <v>47</v>
      </c>
      <c r="M14" s="15">
        <f t="shared" si="4"/>
        <v>3500</v>
      </c>
      <c r="N14" s="19">
        <v>0</v>
      </c>
      <c r="O14" s="7">
        <f t="shared" si="0"/>
        <v>0</v>
      </c>
      <c r="P14" s="3">
        <v>0.09</v>
      </c>
      <c r="Q14" s="7">
        <f t="shared" si="1"/>
        <v>315</v>
      </c>
      <c r="R14" s="3">
        <v>0.09</v>
      </c>
      <c r="S14" s="7">
        <f t="shared" si="2"/>
        <v>315</v>
      </c>
      <c r="T14" s="7">
        <f t="shared" si="3"/>
        <v>4130</v>
      </c>
    </row>
    <row r="15" spans="1:22" x14ac:dyDescent="0.35">
      <c r="A15" t="s">
        <v>1</v>
      </c>
      <c r="B15" t="s">
        <v>40</v>
      </c>
      <c r="C15" t="s">
        <v>41</v>
      </c>
      <c r="D15" t="s">
        <v>42</v>
      </c>
      <c r="E15" t="s">
        <v>4</v>
      </c>
      <c r="F15" t="s">
        <v>51</v>
      </c>
      <c r="G15" s="10">
        <v>46013</v>
      </c>
      <c r="H15" s="9" t="s">
        <v>63</v>
      </c>
      <c r="I15" s="12">
        <v>73181500</v>
      </c>
      <c r="J15" s="12">
        <v>1</v>
      </c>
      <c r="K15" s="18">
        <v>900</v>
      </c>
      <c r="L15" t="s">
        <v>47</v>
      </c>
      <c r="M15" s="15">
        <f t="shared" si="4"/>
        <v>900</v>
      </c>
      <c r="N15" s="19">
        <v>0</v>
      </c>
      <c r="O15" s="7">
        <f t="shared" si="0"/>
        <v>0</v>
      </c>
      <c r="P15" s="3">
        <v>0.09</v>
      </c>
      <c r="Q15" s="7">
        <f t="shared" si="1"/>
        <v>81</v>
      </c>
      <c r="R15" s="3">
        <v>0.09</v>
      </c>
      <c r="S15" s="7">
        <f t="shared" si="2"/>
        <v>81</v>
      </c>
      <c r="T15" s="7">
        <f t="shared" si="3"/>
        <v>1062</v>
      </c>
    </row>
    <row r="16" spans="1:22" x14ac:dyDescent="0.35">
      <c r="A16" t="s">
        <v>1</v>
      </c>
      <c r="B16" t="s">
        <v>40</v>
      </c>
      <c r="C16" t="s">
        <v>41</v>
      </c>
      <c r="D16" t="s">
        <v>42</v>
      </c>
      <c r="E16" t="s">
        <v>4</v>
      </c>
      <c r="F16" t="s">
        <v>51</v>
      </c>
      <c r="G16" s="10">
        <v>46013</v>
      </c>
      <c r="H16" s="9" t="s">
        <v>64</v>
      </c>
      <c r="I16" s="12">
        <v>85071000</v>
      </c>
      <c r="J16" s="12">
        <v>30</v>
      </c>
      <c r="K16" s="18">
        <v>125</v>
      </c>
      <c r="L16" t="s">
        <v>47</v>
      </c>
      <c r="M16" s="15">
        <f t="shared" si="4"/>
        <v>3750</v>
      </c>
      <c r="N16" s="19">
        <v>0</v>
      </c>
      <c r="O16" s="7">
        <f t="shared" si="0"/>
        <v>0</v>
      </c>
      <c r="P16" s="3">
        <v>0.09</v>
      </c>
      <c r="Q16" s="7">
        <f t="shared" si="1"/>
        <v>337.5</v>
      </c>
      <c r="R16" s="3">
        <v>0.09</v>
      </c>
      <c r="S16" s="7">
        <f t="shared" si="2"/>
        <v>337.5</v>
      </c>
      <c r="T16" s="7">
        <f t="shared" si="3"/>
        <v>4425</v>
      </c>
    </row>
    <row r="17" spans="1:20" x14ac:dyDescent="0.35">
      <c r="A17" t="s">
        <v>1</v>
      </c>
      <c r="B17" t="s">
        <v>40</v>
      </c>
      <c r="C17" t="s">
        <v>41</v>
      </c>
      <c r="D17" t="s">
        <v>42</v>
      </c>
      <c r="E17" t="s">
        <v>4</v>
      </c>
      <c r="F17" t="s">
        <v>51</v>
      </c>
      <c r="G17" s="10">
        <v>46013</v>
      </c>
      <c r="H17" s="9" t="s">
        <v>65</v>
      </c>
      <c r="I17" s="12">
        <v>85371000</v>
      </c>
      <c r="J17" s="12">
        <v>6</v>
      </c>
      <c r="K17" s="18">
        <v>1750</v>
      </c>
      <c r="L17" t="s">
        <v>47</v>
      </c>
      <c r="M17" s="15">
        <f t="shared" si="4"/>
        <v>10500</v>
      </c>
      <c r="N17" s="19">
        <v>0</v>
      </c>
      <c r="O17" s="7">
        <f t="shared" si="0"/>
        <v>0</v>
      </c>
      <c r="P17" s="3">
        <v>0.09</v>
      </c>
      <c r="Q17" s="7">
        <f t="shared" si="1"/>
        <v>945</v>
      </c>
      <c r="R17" s="3">
        <v>0.09</v>
      </c>
      <c r="S17" s="7">
        <f t="shared" si="2"/>
        <v>945</v>
      </c>
      <c r="T17" s="7">
        <f t="shared" si="3"/>
        <v>12390</v>
      </c>
    </row>
    <row r="18" spans="1:20" x14ac:dyDescent="0.35">
      <c r="A18" t="s">
        <v>1</v>
      </c>
      <c r="B18" t="s">
        <v>40</v>
      </c>
      <c r="C18" t="s">
        <v>41</v>
      </c>
      <c r="D18" t="s">
        <v>42</v>
      </c>
      <c r="E18" t="s">
        <v>4</v>
      </c>
      <c r="F18" t="s">
        <v>51</v>
      </c>
      <c r="G18" s="10">
        <v>46013</v>
      </c>
      <c r="H18" s="9" t="s">
        <v>66</v>
      </c>
      <c r="I18" s="12">
        <v>38101010</v>
      </c>
      <c r="J18" s="12">
        <v>4</v>
      </c>
      <c r="K18" s="18">
        <v>2188</v>
      </c>
      <c r="L18" t="s">
        <v>47</v>
      </c>
      <c r="M18" s="15">
        <f t="shared" si="4"/>
        <v>8752</v>
      </c>
      <c r="N18" s="19">
        <v>0</v>
      </c>
      <c r="O18" s="7">
        <f t="shared" si="0"/>
        <v>0</v>
      </c>
      <c r="P18" s="3">
        <v>0.09</v>
      </c>
      <c r="Q18" s="7">
        <f t="shared" si="1"/>
        <v>787.68</v>
      </c>
      <c r="R18" s="3">
        <v>0.09</v>
      </c>
      <c r="S18" s="7">
        <f t="shared" si="2"/>
        <v>787.68</v>
      </c>
      <c r="T18" s="7">
        <f t="shared" si="3"/>
        <v>10327.36</v>
      </c>
    </row>
    <row r="19" spans="1:20" x14ac:dyDescent="0.35">
      <c r="A19" t="s">
        <v>1</v>
      </c>
      <c r="B19" t="s">
        <v>40</v>
      </c>
      <c r="C19" t="s">
        <v>41</v>
      </c>
      <c r="D19" t="s">
        <v>42</v>
      </c>
      <c r="E19" t="s">
        <v>4</v>
      </c>
      <c r="F19" t="s">
        <v>51</v>
      </c>
      <c r="G19" s="10">
        <v>46013</v>
      </c>
      <c r="H19" s="9" t="s">
        <v>67</v>
      </c>
      <c r="I19" s="12">
        <v>85369090</v>
      </c>
      <c r="J19" s="12">
        <v>100</v>
      </c>
      <c r="K19" s="18">
        <v>90</v>
      </c>
      <c r="L19" t="s">
        <v>47</v>
      </c>
      <c r="M19" s="15">
        <f t="shared" si="4"/>
        <v>9000</v>
      </c>
      <c r="N19" s="19">
        <v>0</v>
      </c>
      <c r="O19" s="7">
        <f t="shared" si="0"/>
        <v>0</v>
      </c>
      <c r="P19" s="3">
        <v>0.09</v>
      </c>
      <c r="Q19" s="7">
        <f t="shared" si="1"/>
        <v>810</v>
      </c>
      <c r="R19" s="3">
        <v>0.09</v>
      </c>
      <c r="S19" s="7">
        <f t="shared" si="2"/>
        <v>810</v>
      </c>
      <c r="T19" s="7">
        <f t="shared" si="3"/>
        <v>10620</v>
      </c>
    </row>
    <row r="20" spans="1:20" x14ac:dyDescent="0.35">
      <c r="A20" t="s">
        <v>1</v>
      </c>
      <c r="B20" t="s">
        <v>40</v>
      </c>
      <c r="C20" t="s">
        <v>41</v>
      </c>
      <c r="D20" t="s">
        <v>42</v>
      </c>
      <c r="E20" t="s">
        <v>4</v>
      </c>
      <c r="F20" t="s">
        <v>51</v>
      </c>
      <c r="G20" s="10">
        <v>46013</v>
      </c>
      <c r="H20" s="9" t="s">
        <v>68</v>
      </c>
      <c r="I20" s="12">
        <v>85041010</v>
      </c>
      <c r="J20" s="12">
        <v>2</v>
      </c>
      <c r="K20" s="18">
        <v>625</v>
      </c>
      <c r="L20" t="s">
        <v>47</v>
      </c>
      <c r="M20" s="15">
        <f t="shared" si="4"/>
        <v>1250</v>
      </c>
      <c r="N20" s="19">
        <v>0</v>
      </c>
      <c r="O20" s="7">
        <f t="shared" si="0"/>
        <v>0</v>
      </c>
      <c r="P20" s="3">
        <v>0.09</v>
      </c>
      <c r="Q20" s="7">
        <f t="shared" si="1"/>
        <v>112.5</v>
      </c>
      <c r="R20" s="3">
        <v>0.09</v>
      </c>
      <c r="S20" s="7">
        <f t="shared" si="2"/>
        <v>112.5</v>
      </c>
      <c r="T20" s="7">
        <f t="shared" si="3"/>
        <v>1475</v>
      </c>
    </row>
    <row r="21" spans="1:20" x14ac:dyDescent="0.35">
      <c r="A21" t="s">
        <v>1</v>
      </c>
      <c r="B21" t="s">
        <v>40</v>
      </c>
      <c r="C21" t="s">
        <v>41</v>
      </c>
      <c r="D21" t="s">
        <v>42</v>
      </c>
      <c r="E21" t="s">
        <v>4</v>
      </c>
      <c r="F21" t="s">
        <v>51</v>
      </c>
      <c r="G21" s="10">
        <v>46013</v>
      </c>
      <c r="H21" s="9" t="s">
        <v>69</v>
      </c>
      <c r="I21" s="12">
        <v>85446020</v>
      </c>
      <c r="J21" s="12">
        <v>100</v>
      </c>
      <c r="K21" s="18">
        <v>87</v>
      </c>
      <c r="L21" t="s">
        <v>47</v>
      </c>
      <c r="M21" s="15">
        <f t="shared" si="4"/>
        <v>8700</v>
      </c>
      <c r="N21" s="19">
        <v>0</v>
      </c>
      <c r="O21" s="7">
        <f t="shared" si="0"/>
        <v>0</v>
      </c>
      <c r="P21" s="3">
        <v>0.09</v>
      </c>
      <c r="Q21" s="7">
        <f t="shared" si="1"/>
        <v>783</v>
      </c>
      <c r="R21" s="3">
        <v>0.09</v>
      </c>
      <c r="S21" s="7">
        <f t="shared" si="2"/>
        <v>783</v>
      </c>
      <c r="T21" s="7">
        <f t="shared" si="3"/>
        <v>10266</v>
      </c>
    </row>
    <row r="22" spans="1:20" x14ac:dyDescent="0.35">
      <c r="A22" t="s">
        <v>1</v>
      </c>
      <c r="B22" t="s">
        <v>40</v>
      </c>
      <c r="C22" t="s">
        <v>41</v>
      </c>
      <c r="D22" t="s">
        <v>42</v>
      </c>
      <c r="E22" t="s">
        <v>4</v>
      </c>
      <c r="F22" t="s">
        <v>51</v>
      </c>
      <c r="G22" s="10">
        <v>46013</v>
      </c>
      <c r="H22" s="9" t="s">
        <v>70</v>
      </c>
      <c r="I22" s="12">
        <v>73181500</v>
      </c>
      <c r="J22" s="12">
        <v>80</v>
      </c>
      <c r="K22" s="18">
        <v>1063</v>
      </c>
      <c r="L22" t="s">
        <v>47</v>
      </c>
      <c r="M22" s="15">
        <f t="shared" si="4"/>
        <v>85040</v>
      </c>
      <c r="N22" s="19">
        <v>0</v>
      </c>
      <c r="O22" s="7">
        <f t="shared" si="0"/>
        <v>0</v>
      </c>
      <c r="P22" s="3">
        <v>0.09</v>
      </c>
      <c r="Q22" s="7">
        <f t="shared" si="1"/>
        <v>7653.5999999999995</v>
      </c>
      <c r="R22" s="3">
        <v>0.09</v>
      </c>
      <c r="S22" s="7">
        <f t="shared" si="2"/>
        <v>7653.5999999999995</v>
      </c>
      <c r="T22" s="7">
        <f t="shared" si="3"/>
        <v>100347.20000000001</v>
      </c>
    </row>
    <row r="23" spans="1:20" x14ac:dyDescent="0.35">
      <c r="A23" t="s">
        <v>1</v>
      </c>
      <c r="B23" t="s">
        <v>40</v>
      </c>
      <c r="C23" t="s">
        <v>41</v>
      </c>
      <c r="D23" t="s">
        <v>42</v>
      </c>
      <c r="E23" t="s">
        <v>4</v>
      </c>
      <c r="F23" t="s">
        <v>51</v>
      </c>
      <c r="G23" s="10">
        <v>46013</v>
      </c>
      <c r="H23" s="9" t="s">
        <v>71</v>
      </c>
      <c r="I23" s="12">
        <v>73181900</v>
      </c>
      <c r="J23" s="12">
        <v>4</v>
      </c>
      <c r="K23" s="18">
        <v>63</v>
      </c>
      <c r="L23" t="s">
        <v>47</v>
      </c>
      <c r="M23" s="15">
        <f t="shared" si="4"/>
        <v>252</v>
      </c>
      <c r="N23" s="19">
        <v>0</v>
      </c>
      <c r="O23" s="7">
        <f t="shared" si="0"/>
        <v>0</v>
      </c>
      <c r="P23" s="3">
        <v>0.09</v>
      </c>
      <c r="Q23" s="7">
        <f t="shared" si="1"/>
        <v>22.68</v>
      </c>
      <c r="R23" s="3">
        <v>0.09</v>
      </c>
      <c r="S23" s="7">
        <f t="shared" si="2"/>
        <v>22.68</v>
      </c>
      <c r="T23" s="7">
        <f t="shared" si="3"/>
        <v>297.36</v>
      </c>
    </row>
    <row r="24" spans="1:20" x14ac:dyDescent="0.35">
      <c r="A24" t="s">
        <v>1</v>
      </c>
      <c r="B24" t="s">
        <v>40</v>
      </c>
      <c r="C24" t="s">
        <v>41</v>
      </c>
      <c r="D24" t="s">
        <v>42</v>
      </c>
      <c r="E24" t="s">
        <v>4</v>
      </c>
      <c r="F24" t="s">
        <v>51</v>
      </c>
      <c r="G24" s="10">
        <v>46013</v>
      </c>
      <c r="H24" s="9" t="s">
        <v>72</v>
      </c>
      <c r="I24" s="12">
        <v>39171010</v>
      </c>
      <c r="J24" s="12">
        <v>2</v>
      </c>
      <c r="K24" s="18">
        <v>42</v>
      </c>
      <c r="L24" t="s">
        <v>47</v>
      </c>
      <c r="M24" s="15">
        <f t="shared" si="4"/>
        <v>84</v>
      </c>
      <c r="N24" s="19">
        <v>0</v>
      </c>
      <c r="O24" s="7">
        <f t="shared" si="0"/>
        <v>0</v>
      </c>
      <c r="P24" s="3">
        <v>0.09</v>
      </c>
      <c r="Q24" s="7">
        <f t="shared" si="1"/>
        <v>7.56</v>
      </c>
      <c r="R24" s="3">
        <v>0.09</v>
      </c>
      <c r="S24" s="7">
        <f t="shared" si="2"/>
        <v>7.56</v>
      </c>
      <c r="T24" s="7">
        <f t="shared" si="3"/>
        <v>99.12</v>
      </c>
    </row>
    <row r="25" spans="1:20" x14ac:dyDescent="0.35">
      <c r="A25" t="s">
        <v>1</v>
      </c>
      <c r="B25" t="s">
        <v>40</v>
      </c>
      <c r="C25" t="s">
        <v>41</v>
      </c>
      <c r="D25" t="s">
        <v>42</v>
      </c>
      <c r="E25" t="s">
        <v>4</v>
      </c>
      <c r="F25" t="s">
        <v>51</v>
      </c>
      <c r="G25" s="10">
        <v>46013</v>
      </c>
      <c r="H25" s="9" t="s">
        <v>73</v>
      </c>
      <c r="I25" s="12">
        <v>32089090</v>
      </c>
      <c r="J25" s="12">
        <v>10</v>
      </c>
      <c r="K25" s="18">
        <v>350</v>
      </c>
      <c r="L25" t="s">
        <v>47</v>
      </c>
      <c r="M25" s="15">
        <f t="shared" si="4"/>
        <v>3500</v>
      </c>
      <c r="N25" s="19">
        <v>0</v>
      </c>
      <c r="O25" s="7">
        <f t="shared" si="0"/>
        <v>0</v>
      </c>
      <c r="P25" s="3">
        <v>0.09</v>
      </c>
      <c r="Q25" s="7">
        <f t="shared" si="1"/>
        <v>315</v>
      </c>
      <c r="R25" s="3">
        <v>0.09</v>
      </c>
      <c r="S25" s="7">
        <f t="shared" si="2"/>
        <v>315</v>
      </c>
      <c r="T25" s="7">
        <f t="shared" si="3"/>
        <v>4130</v>
      </c>
    </row>
    <row r="26" spans="1:20" x14ac:dyDescent="0.35">
      <c r="A26" t="s">
        <v>1</v>
      </c>
      <c r="B26" t="s">
        <v>40</v>
      </c>
      <c r="C26" t="s">
        <v>41</v>
      </c>
      <c r="D26" t="s">
        <v>42</v>
      </c>
      <c r="E26" t="s">
        <v>4</v>
      </c>
      <c r="F26" t="s">
        <v>51</v>
      </c>
      <c r="G26" s="10">
        <v>46013</v>
      </c>
      <c r="H26" s="9" t="s">
        <v>74</v>
      </c>
      <c r="I26" s="12">
        <v>73181500</v>
      </c>
      <c r="J26" s="12">
        <v>100</v>
      </c>
      <c r="K26" s="18">
        <v>11</v>
      </c>
      <c r="L26" t="s">
        <v>47</v>
      </c>
      <c r="M26" s="15">
        <f t="shared" si="4"/>
        <v>1100</v>
      </c>
      <c r="N26" s="19">
        <v>0</v>
      </c>
      <c r="O26" s="7">
        <f t="shared" si="0"/>
        <v>0</v>
      </c>
      <c r="P26" s="3">
        <v>0.09</v>
      </c>
      <c r="Q26" s="7">
        <f t="shared" si="1"/>
        <v>99</v>
      </c>
      <c r="R26" s="3">
        <v>0.09</v>
      </c>
      <c r="S26" s="7">
        <f t="shared" si="2"/>
        <v>99</v>
      </c>
      <c r="T26" s="7">
        <f t="shared" si="3"/>
        <v>1298</v>
      </c>
    </row>
    <row r="27" spans="1:20" x14ac:dyDescent="0.35">
      <c r="A27" t="s">
        <v>1</v>
      </c>
      <c r="B27" t="s">
        <v>40</v>
      </c>
      <c r="C27" t="s">
        <v>41</v>
      </c>
      <c r="D27" t="s">
        <v>42</v>
      </c>
      <c r="E27" t="s">
        <v>4</v>
      </c>
      <c r="F27" t="s">
        <v>51</v>
      </c>
      <c r="G27" s="10">
        <v>46013</v>
      </c>
      <c r="H27" s="9" t="s">
        <v>75</v>
      </c>
      <c r="I27" s="12">
        <v>73239200</v>
      </c>
      <c r="J27" s="12">
        <v>80</v>
      </c>
      <c r="K27" s="18">
        <v>88</v>
      </c>
      <c r="L27" t="s">
        <v>47</v>
      </c>
      <c r="M27" s="15">
        <f t="shared" si="4"/>
        <v>7040</v>
      </c>
      <c r="N27" s="19">
        <v>0</v>
      </c>
      <c r="O27" s="7">
        <f t="shared" si="0"/>
        <v>0</v>
      </c>
      <c r="P27" s="3">
        <v>0.09</v>
      </c>
      <c r="Q27" s="7">
        <f t="shared" si="1"/>
        <v>633.6</v>
      </c>
      <c r="R27" s="3">
        <v>0.09</v>
      </c>
      <c r="S27" s="7">
        <f t="shared" si="2"/>
        <v>633.6</v>
      </c>
      <c r="T27" s="7">
        <f t="shared" si="3"/>
        <v>8307.2000000000007</v>
      </c>
    </row>
    <row r="28" spans="1:20" x14ac:dyDescent="0.35">
      <c r="A28" t="s">
        <v>1</v>
      </c>
      <c r="B28" t="s">
        <v>40</v>
      </c>
      <c r="C28" t="s">
        <v>41</v>
      </c>
      <c r="D28" t="s">
        <v>42</v>
      </c>
      <c r="E28" t="s">
        <v>4</v>
      </c>
      <c r="F28" t="s">
        <v>51</v>
      </c>
      <c r="G28" s="10">
        <v>46013</v>
      </c>
      <c r="H28" s="9" t="s">
        <v>76</v>
      </c>
      <c r="I28" s="12">
        <v>73269099</v>
      </c>
      <c r="J28" s="12">
        <v>234</v>
      </c>
      <c r="K28" s="18">
        <v>109</v>
      </c>
      <c r="L28" t="s">
        <v>47</v>
      </c>
      <c r="M28" s="15">
        <f t="shared" si="4"/>
        <v>25506</v>
      </c>
      <c r="N28" s="19">
        <v>0</v>
      </c>
      <c r="O28" s="7">
        <f t="shared" si="0"/>
        <v>0</v>
      </c>
      <c r="P28" s="3">
        <v>0.09</v>
      </c>
      <c r="Q28" s="7">
        <f t="shared" si="1"/>
        <v>2295.54</v>
      </c>
      <c r="R28" s="3">
        <v>0.09</v>
      </c>
      <c r="S28" s="7">
        <f t="shared" si="2"/>
        <v>2295.54</v>
      </c>
      <c r="T28" s="7">
        <f t="shared" si="3"/>
        <v>30097.08</v>
      </c>
    </row>
    <row r="29" spans="1:20" x14ac:dyDescent="0.35">
      <c r="A29" t="s">
        <v>1</v>
      </c>
      <c r="B29" t="s">
        <v>40</v>
      </c>
      <c r="C29" t="s">
        <v>41</v>
      </c>
      <c r="D29" t="s">
        <v>42</v>
      </c>
      <c r="E29" t="s">
        <v>4</v>
      </c>
      <c r="F29" t="s">
        <v>51</v>
      </c>
      <c r="G29" s="10">
        <v>46013</v>
      </c>
      <c r="H29" s="9" t="s">
        <v>77</v>
      </c>
      <c r="I29" s="12">
        <v>85369090</v>
      </c>
      <c r="J29" s="12">
        <v>50</v>
      </c>
      <c r="K29" s="18">
        <v>645</v>
      </c>
      <c r="L29" t="s">
        <v>47</v>
      </c>
      <c r="M29" s="15">
        <f t="shared" si="4"/>
        <v>32250</v>
      </c>
      <c r="N29" s="19">
        <v>0</v>
      </c>
      <c r="O29" s="7">
        <f t="shared" si="0"/>
        <v>0</v>
      </c>
      <c r="P29" s="3">
        <v>0.09</v>
      </c>
      <c r="Q29" s="7">
        <f t="shared" si="1"/>
        <v>2902.5</v>
      </c>
      <c r="R29" s="3">
        <v>0.09</v>
      </c>
      <c r="S29" s="7">
        <f t="shared" si="2"/>
        <v>2902.5</v>
      </c>
      <c r="T29" s="7">
        <f t="shared" si="3"/>
        <v>38055</v>
      </c>
    </row>
    <row r="30" spans="1:20" x14ac:dyDescent="0.35">
      <c r="A30" t="s">
        <v>1</v>
      </c>
      <c r="B30" t="s">
        <v>40</v>
      </c>
      <c r="C30" t="s">
        <v>41</v>
      </c>
      <c r="D30" t="s">
        <v>42</v>
      </c>
      <c r="E30" t="s">
        <v>4</v>
      </c>
      <c r="F30" t="s">
        <v>51</v>
      </c>
      <c r="G30" s="10">
        <v>46013</v>
      </c>
      <c r="H30" s="9" t="s">
        <v>78</v>
      </c>
      <c r="I30" s="12">
        <v>72085110</v>
      </c>
      <c r="J30" s="12">
        <v>6</v>
      </c>
      <c r="K30" s="18">
        <v>715</v>
      </c>
      <c r="L30" t="s">
        <v>47</v>
      </c>
      <c r="M30" s="15">
        <f t="shared" si="4"/>
        <v>4290</v>
      </c>
      <c r="N30" s="19">
        <v>0</v>
      </c>
      <c r="O30" s="7">
        <f t="shared" si="0"/>
        <v>0</v>
      </c>
      <c r="P30" s="3">
        <v>0.09</v>
      </c>
      <c r="Q30" s="7">
        <f t="shared" si="1"/>
        <v>386.09999999999997</v>
      </c>
      <c r="R30" s="3">
        <v>0.09</v>
      </c>
      <c r="S30" s="7">
        <f t="shared" si="2"/>
        <v>386.09999999999997</v>
      </c>
      <c r="T30" s="7">
        <f t="shared" si="3"/>
        <v>5062.2000000000007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7C0ED-5940-450A-B24C-0A42A970F4EB}">
  <dimension ref="A1:U6"/>
  <sheetViews>
    <sheetView tabSelected="1" topLeftCell="N1" workbookViewId="0">
      <selection activeCell="T14" sqref="T14"/>
    </sheetView>
  </sheetViews>
  <sheetFormatPr defaultRowHeight="14.5" x14ac:dyDescent="0.35"/>
  <cols>
    <col min="1" max="1" width="17.08984375" customWidth="1"/>
    <col min="2" max="2" width="52.7265625" customWidth="1"/>
    <col min="3" max="3" width="28" bestFit="1" customWidth="1"/>
    <col min="4" max="4" width="19.7265625" bestFit="1" customWidth="1"/>
    <col min="5" max="5" width="24.90625" bestFit="1" customWidth="1"/>
    <col min="6" max="6" width="24.90625" customWidth="1"/>
    <col min="7" max="7" width="20" customWidth="1"/>
    <col min="8" max="8" width="16.54296875" style="9" customWidth="1"/>
    <col min="9" max="9" width="20.81640625" customWidth="1"/>
    <col min="10" max="10" width="8.6328125" bestFit="1" customWidth="1"/>
    <col min="11" max="11" width="8" bestFit="1" customWidth="1"/>
    <col min="12" max="12" width="12.90625" bestFit="1" customWidth="1"/>
    <col min="13" max="13" width="8.36328125" bestFit="1" customWidth="1"/>
    <col min="14" max="14" width="12.26953125" bestFit="1" customWidth="1"/>
    <col min="15" max="15" width="7.6328125" bestFit="1" customWidth="1"/>
    <col min="16" max="16" width="13.453125" bestFit="1" customWidth="1"/>
    <col min="17" max="17" width="7.453125" bestFit="1" customWidth="1"/>
    <col min="18" max="18" width="13.26953125" bestFit="1" customWidth="1"/>
    <col min="19" max="19" width="9.6328125" bestFit="1" customWidth="1"/>
    <col min="20" max="20" width="26" customWidth="1"/>
    <col min="21" max="21" width="13.26953125" bestFit="1" customWidth="1"/>
  </cols>
  <sheetData>
    <row r="1" spans="1:21" x14ac:dyDescent="0.35">
      <c r="T1" s="23" t="s">
        <v>96</v>
      </c>
      <c r="U1" s="23"/>
    </row>
    <row r="2" spans="1:21" x14ac:dyDescent="0.35">
      <c r="A2" s="4" t="s">
        <v>0</v>
      </c>
      <c r="B2" s="4" t="s">
        <v>6</v>
      </c>
      <c r="C2" s="4" t="s">
        <v>7</v>
      </c>
      <c r="D2" s="4" t="s">
        <v>5</v>
      </c>
      <c r="E2" s="4" t="s">
        <v>8</v>
      </c>
      <c r="F2" s="4" t="s">
        <v>9</v>
      </c>
      <c r="G2" s="5" t="s">
        <v>11</v>
      </c>
      <c r="H2" s="5" t="s">
        <v>12</v>
      </c>
      <c r="I2" s="4" t="s">
        <v>82</v>
      </c>
      <c r="J2" s="4" t="s">
        <v>84</v>
      </c>
      <c r="K2" s="20" t="s">
        <v>85</v>
      </c>
      <c r="L2" s="6" t="s">
        <v>86</v>
      </c>
      <c r="M2" s="6" t="s">
        <v>38</v>
      </c>
      <c r="N2" s="6" t="s">
        <v>39</v>
      </c>
      <c r="O2" s="4" t="s">
        <v>20</v>
      </c>
      <c r="P2" s="6" t="s">
        <v>21</v>
      </c>
      <c r="Q2" s="4" t="s">
        <v>22</v>
      </c>
      <c r="R2" s="6" t="s">
        <v>23</v>
      </c>
      <c r="S2" s="6" t="s">
        <v>13</v>
      </c>
      <c r="T2" s="6" t="s">
        <v>88</v>
      </c>
      <c r="U2" s="1" t="s">
        <v>91</v>
      </c>
    </row>
    <row r="3" spans="1:21" x14ac:dyDescent="0.35">
      <c r="A3" t="s">
        <v>1</v>
      </c>
      <c r="B3" t="s">
        <v>79</v>
      </c>
      <c r="C3" t="s">
        <v>80</v>
      </c>
      <c r="D3" t="s">
        <v>42</v>
      </c>
      <c r="E3" t="s">
        <v>4</v>
      </c>
      <c r="F3" t="s">
        <v>10</v>
      </c>
      <c r="G3" t="s">
        <v>81</v>
      </c>
      <c r="H3" s="10">
        <v>45972</v>
      </c>
      <c r="I3" t="s">
        <v>83</v>
      </c>
      <c r="J3">
        <v>998719</v>
      </c>
      <c r="K3" s="12">
        <v>0</v>
      </c>
      <c r="L3" s="14">
        <v>573156.46</v>
      </c>
      <c r="M3" s="7">
        <v>0</v>
      </c>
      <c r="N3" s="7">
        <f>L3*M3</f>
        <v>0</v>
      </c>
      <c r="O3" s="3">
        <v>0.09</v>
      </c>
      <c r="P3" s="14">
        <f>L3*O3</f>
        <v>51584.081399999995</v>
      </c>
      <c r="Q3" s="3">
        <v>0.09</v>
      </c>
      <c r="R3" s="14">
        <f>L3*Q3</f>
        <v>51584.081399999995</v>
      </c>
      <c r="S3" s="7">
        <f>L3+P3+R3</f>
        <v>676324.62280000001</v>
      </c>
      <c r="T3" t="s">
        <v>89</v>
      </c>
      <c r="U3" t="s">
        <v>90</v>
      </c>
    </row>
    <row r="4" spans="1:21" x14ac:dyDescent="0.35">
      <c r="A4" t="s">
        <v>1</v>
      </c>
      <c r="B4" t="s">
        <v>79</v>
      </c>
      <c r="C4" t="s">
        <v>80</v>
      </c>
      <c r="D4" t="s">
        <v>42</v>
      </c>
      <c r="E4" t="s">
        <v>4</v>
      </c>
      <c r="F4" t="s">
        <v>10</v>
      </c>
      <c r="G4" t="s">
        <v>81</v>
      </c>
      <c r="H4" s="10">
        <v>45972</v>
      </c>
      <c r="I4" t="s">
        <v>87</v>
      </c>
      <c r="J4">
        <v>998719</v>
      </c>
      <c r="K4" s="12">
        <v>0</v>
      </c>
      <c r="L4" s="14">
        <v>10030.24</v>
      </c>
      <c r="M4" s="7">
        <v>0</v>
      </c>
      <c r="N4" s="7">
        <f>L4*M4</f>
        <v>0</v>
      </c>
      <c r="O4" s="3">
        <v>0.09</v>
      </c>
      <c r="P4" s="14">
        <f>L4*O4</f>
        <v>902.72159999999997</v>
      </c>
      <c r="Q4" s="3">
        <v>0.09</v>
      </c>
      <c r="R4" s="14">
        <f>L4*Q4</f>
        <v>902.72159999999997</v>
      </c>
      <c r="S4" s="7">
        <f>L4+P4+R4</f>
        <v>11835.683200000001</v>
      </c>
      <c r="T4" t="s">
        <v>89</v>
      </c>
      <c r="U4" t="s">
        <v>90</v>
      </c>
    </row>
    <row r="5" spans="1:21" x14ac:dyDescent="0.35">
      <c r="A5" t="s">
        <v>1</v>
      </c>
      <c r="B5" t="s">
        <v>79</v>
      </c>
      <c r="C5" t="s">
        <v>80</v>
      </c>
      <c r="D5" t="s">
        <v>42</v>
      </c>
      <c r="E5" t="s">
        <v>4</v>
      </c>
      <c r="F5" t="s">
        <v>10</v>
      </c>
      <c r="G5" s="8" t="s">
        <v>92</v>
      </c>
      <c r="H5" s="10">
        <v>45972</v>
      </c>
      <c r="I5" t="s">
        <v>93</v>
      </c>
      <c r="J5">
        <v>996337</v>
      </c>
      <c r="K5" s="12">
        <v>0</v>
      </c>
      <c r="L5" s="14">
        <v>1183464.72</v>
      </c>
      <c r="M5" s="7">
        <v>0</v>
      </c>
      <c r="N5" s="7">
        <f>L5*M5</f>
        <v>0</v>
      </c>
      <c r="O5" s="3">
        <v>0.09</v>
      </c>
      <c r="P5" s="14">
        <f>L5*O5</f>
        <v>106511.82479999999</v>
      </c>
      <c r="Q5" s="3">
        <v>0.09</v>
      </c>
      <c r="R5" s="14">
        <f>L5*Q5</f>
        <v>106511.82479999999</v>
      </c>
      <c r="S5" s="7">
        <f>L5+P5+R5</f>
        <v>1396488.3696000001</v>
      </c>
      <c r="T5" t="s">
        <v>89</v>
      </c>
      <c r="U5" t="s">
        <v>95</v>
      </c>
    </row>
    <row r="6" spans="1:21" x14ac:dyDescent="0.35">
      <c r="A6" t="s">
        <v>1</v>
      </c>
      <c r="B6" t="s">
        <v>79</v>
      </c>
      <c r="C6" t="s">
        <v>80</v>
      </c>
      <c r="D6" t="s">
        <v>42</v>
      </c>
      <c r="E6" t="s">
        <v>4</v>
      </c>
      <c r="F6" t="s">
        <v>10</v>
      </c>
      <c r="G6" s="8" t="s">
        <v>92</v>
      </c>
      <c r="H6" s="10">
        <v>45972</v>
      </c>
      <c r="I6" t="s">
        <v>94</v>
      </c>
      <c r="J6">
        <v>996337</v>
      </c>
      <c r="K6" s="12">
        <v>0</v>
      </c>
      <c r="L6" s="14">
        <v>20710.63</v>
      </c>
      <c r="M6" s="7">
        <v>0</v>
      </c>
      <c r="N6" s="7">
        <f>L6*M6</f>
        <v>0</v>
      </c>
      <c r="O6" s="3">
        <v>0.09</v>
      </c>
      <c r="P6" s="14">
        <f>L6*O6</f>
        <v>1863.9567</v>
      </c>
      <c r="Q6" s="3">
        <v>0.09</v>
      </c>
      <c r="R6" s="14">
        <f>L6*Q6</f>
        <v>1863.9567</v>
      </c>
      <c r="S6" s="7">
        <f>L6+P6+R6</f>
        <v>24438.543399999999</v>
      </c>
      <c r="T6" t="s">
        <v>89</v>
      </c>
      <c r="U6" t="s">
        <v>95</v>
      </c>
    </row>
  </sheetData>
  <mergeCells count="1">
    <mergeCell ref="T1:U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Mogli Lab </vt:lpstr>
      <vt:lpstr>SDI </vt:lpstr>
      <vt:lpstr>JLL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Patil</dc:creator>
  <cp:lastModifiedBy>ANIRUDDHA PATRANABIS</cp:lastModifiedBy>
  <dcterms:created xsi:type="dcterms:W3CDTF">2026-02-02T07:35:35Z</dcterms:created>
  <dcterms:modified xsi:type="dcterms:W3CDTF">2026-02-02T12:45:16Z</dcterms:modified>
</cp:coreProperties>
</file>